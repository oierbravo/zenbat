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750" yWindow="795" windowWidth="12615" windowHeight="8715"/>
  </bookViews>
  <sheets>
    <sheet name="componentes" sheetId="2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E102" i="2" l="1"/>
  <c r="E62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D72" i="2"/>
  <c r="D66" i="2"/>
  <c r="D73" i="2"/>
  <c r="D78" i="2"/>
  <c r="D69" i="2"/>
  <c r="D71" i="2"/>
  <c r="D70" i="2"/>
  <c r="D77" i="2"/>
  <c r="D68" i="2"/>
  <c r="D98" i="2"/>
  <c r="D99" i="2"/>
  <c r="D64" i="2"/>
  <c r="D65" i="2"/>
  <c r="D75" i="2"/>
  <c r="D76" i="2"/>
  <c r="D67" i="2"/>
  <c r="E75" i="2" l="1"/>
  <c r="E76" i="2"/>
  <c r="E77" i="2"/>
  <c r="E78" i="2"/>
  <c r="E5" i="2" l="1"/>
  <c r="E6" i="2"/>
  <c r="E7" i="2"/>
  <c r="E9" i="2"/>
  <c r="E11" i="2"/>
  <c r="E13" i="2"/>
  <c r="E15" i="2"/>
  <c r="E16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3" i="2"/>
  <c r="E44" i="2"/>
  <c r="E46" i="2"/>
  <c r="E47" i="2"/>
  <c r="E48" i="2"/>
  <c r="E73" i="2"/>
  <c r="E64" i="2"/>
  <c r="E65" i="2"/>
  <c r="E66" i="2"/>
  <c r="E72" i="2"/>
  <c r="E67" i="2"/>
  <c r="E68" i="2"/>
  <c r="E69" i="2"/>
  <c r="E70" i="2"/>
  <c r="E71" i="2"/>
  <c r="E80" i="2"/>
  <c r="E82" i="2"/>
  <c r="E83" i="2"/>
  <c r="E85" i="2"/>
  <c r="E86" i="2"/>
  <c r="E89" i="2"/>
  <c r="E90" i="2"/>
  <c r="E91" i="2"/>
  <c r="E92" i="2"/>
  <c r="E93" i="2"/>
  <c r="E98" i="2"/>
  <c r="E99" i="2"/>
  <c r="E4" i="2"/>
  <c r="E110" i="2" l="1"/>
  <c r="E104" i="2"/>
  <c r="E106" i="2" l="1"/>
  <c r="E108" i="2" s="1"/>
  <c r="E111" i="2" s="1"/>
</calcChain>
</file>

<file path=xl/sharedStrings.xml><?xml version="1.0" encoding="utf-8"?>
<sst xmlns="http://schemas.openxmlformats.org/spreadsheetml/2006/main" count="252" uniqueCount="186">
  <si>
    <t>Codigo Material</t>
  </si>
  <si>
    <t>Denominación</t>
  </si>
  <si>
    <t>Precio Unitario</t>
  </si>
  <si>
    <t>Cantidad</t>
  </si>
  <si>
    <t>Precio total</t>
  </si>
  <si>
    <t>Proveedor</t>
  </si>
  <si>
    <t>100.07.601</t>
  </si>
  <si>
    <t>Perfil simetrico perf. 35x7,5 GOUL 45520 -REF. QUIOP-</t>
  </si>
  <si>
    <t>AELVASA</t>
  </si>
  <si>
    <t>100.07.602</t>
  </si>
  <si>
    <t>Perfil simetrico perf. 35x15 GOUL 45555 /QUIORP</t>
  </si>
  <si>
    <t>100.07.613</t>
  </si>
  <si>
    <t>Canaleta TEHALIT BA7 80060</t>
  </si>
  <si>
    <t>100.07.615</t>
  </si>
  <si>
    <t>Canaleta TEHALIT BA7 80040</t>
  </si>
  <si>
    <t>204.18.602</t>
  </si>
  <si>
    <t>Chapa soporte conectores pequeños</t>
  </si>
  <si>
    <t>Laser Ebro + Cuellar</t>
  </si>
  <si>
    <t>204.14.135</t>
  </si>
  <si>
    <t>Placa montaje para armario 1480x1400x450</t>
  </si>
  <si>
    <t>Laser Ebro</t>
  </si>
  <si>
    <t>100.10.158</t>
  </si>
  <si>
    <t>Remache Al/Ac 5x8 d2 14 BRALO 010305008</t>
  </si>
  <si>
    <t>Bralo</t>
  </si>
  <si>
    <t>100.11.134</t>
  </si>
  <si>
    <t>Tornillo cil. DIN 84-88 - M4x20 - 5.8 BC</t>
  </si>
  <si>
    <t>LASARTE</t>
  </si>
  <si>
    <t>100.11.157</t>
  </si>
  <si>
    <t>Tornillo cil. DIN 84-88 M5x20 5.8 BC</t>
  </si>
  <si>
    <t>100.16.006</t>
  </si>
  <si>
    <t>Tornillo hexagonal DIN 933-87 -M 6x 20 - 8.8 BC</t>
  </si>
  <si>
    <t>100.16.030</t>
  </si>
  <si>
    <t>Tornillo hexagonal DIN 933-87 -M 8x 25 - 8.8 BC</t>
  </si>
  <si>
    <t>100.16.056</t>
  </si>
  <si>
    <t>Tornillo hexagonal DIN 933-87 -M10x 30 - 8.8 BC</t>
  </si>
  <si>
    <t>100.16.061</t>
  </si>
  <si>
    <t>Tornillo hexagonal DIN 933-87 -M10x 60 - 8.8 BC</t>
  </si>
  <si>
    <t>100.16.086</t>
  </si>
  <si>
    <t>Tornillo hexagonal DIN 933-87 -M12x 70 - 8.8 BC</t>
  </si>
  <si>
    <t>100.20.106</t>
  </si>
  <si>
    <t>Tuerca exagonal DIN 934-87 - M6 - 8 BC</t>
  </si>
  <si>
    <t>100.20.108</t>
  </si>
  <si>
    <t>Tuerca exagonal DIN 934-87 - M8 - 8 BC</t>
  </si>
  <si>
    <t>100.20.110</t>
  </si>
  <si>
    <t>Tuerca exagonal DIN 934-87 - M10 - 8 BC</t>
  </si>
  <si>
    <t>100.20.112</t>
  </si>
  <si>
    <t>Tuerca exagonal DIN 934-87 - M12 - 8 BC</t>
  </si>
  <si>
    <t>100.30.104</t>
  </si>
  <si>
    <t>Arandela 4,3 DIN 125-68 - St BC</t>
  </si>
  <si>
    <t>100.30.105</t>
  </si>
  <si>
    <t>Arandela 5,3 DIN 125-68 - StBC</t>
  </si>
  <si>
    <t>100.30.106</t>
  </si>
  <si>
    <t>Arandela 6,4 DIN 125-68 - StBC</t>
  </si>
  <si>
    <t>100.30.108</t>
  </si>
  <si>
    <t>Arandela 8,4 DIN 125-68 - StBC</t>
  </si>
  <si>
    <t>100.30.110</t>
  </si>
  <si>
    <t>Arandela 10,5 DIN 125-68 - StBC</t>
  </si>
  <si>
    <t>100.30.113</t>
  </si>
  <si>
    <t>Arandela 13 DIN 125-68 - StBC</t>
  </si>
  <si>
    <t>100.31.106</t>
  </si>
  <si>
    <t>Arandela elástica DIN 128-87-A 6 - FSt DELTA-TONE</t>
  </si>
  <si>
    <t>100.31.108</t>
  </si>
  <si>
    <t>Arandela elástica DIN 128-87-A 8 - FSt DELTA-TONE</t>
  </si>
  <si>
    <t>100.31.110</t>
  </si>
  <si>
    <t>Arandela elastica DIN 128-87-A10 - FSt DELTA-TONE</t>
  </si>
  <si>
    <t>100.31.112</t>
  </si>
  <si>
    <t>Arandela elástica DIN 128-87-A12 - FSt DELTA-TONE</t>
  </si>
  <si>
    <t>100.40.008</t>
  </si>
  <si>
    <t>Remache UNEX 1305</t>
  </si>
  <si>
    <t>100.90.060</t>
  </si>
  <si>
    <t>Rele enchufable TEE RXN4A06B1E7 // MY4IN 4850ACS</t>
  </si>
  <si>
    <t>OMRON</t>
  </si>
  <si>
    <t>100.90.061</t>
  </si>
  <si>
    <t>Zocalo para Rele TEE RXZE1S114M // PYF 14-ESS</t>
  </si>
  <si>
    <t>100.90.062</t>
  </si>
  <si>
    <t>Estribo de mantenimiento TEE RXZ-R235 // PYC35B</t>
  </si>
  <si>
    <t>100.90.800</t>
  </si>
  <si>
    <t>100.90.803</t>
  </si>
  <si>
    <t>100.91.671</t>
  </si>
  <si>
    <t>Supresor sobretensión P6KE39A de 33 voltios</t>
  </si>
  <si>
    <t>Electroson</t>
  </si>
  <si>
    <t>100.91.839</t>
  </si>
  <si>
    <t>Zócalo + base 2 polos gris ref. Wieland 96.021.1053.0</t>
  </si>
  <si>
    <t>Wieland</t>
  </si>
  <si>
    <t>100.91.881</t>
  </si>
  <si>
    <t>Tapón conector 3 polos hembra gris ref.Wieland 99.413.6205.2</t>
  </si>
  <si>
    <t>100.91.947</t>
  </si>
  <si>
    <t>Condensador Poliester R15 400V 0.1μF EPOXI. VISHAY MKT-368</t>
  </si>
  <si>
    <t>111.05.006</t>
  </si>
  <si>
    <t>Pegatina rayo</t>
  </si>
  <si>
    <t>Sin prov</t>
  </si>
  <si>
    <t>100.11.152</t>
  </si>
  <si>
    <t>Tornillo cil. DIN 84-88 - M5x12 - 5.8 BC</t>
  </si>
  <si>
    <t>100.31.105</t>
  </si>
  <si>
    <t>Arandela elástica DIN 128-87-A 5 - FSt DELTA-TONE</t>
  </si>
  <si>
    <t>204.09.130</t>
  </si>
  <si>
    <t>Vascoplast</t>
  </si>
  <si>
    <t>204.14.120</t>
  </si>
  <si>
    <t>Conjunto regletero</t>
  </si>
  <si>
    <t>Aelvasa</t>
  </si>
  <si>
    <t>204.18.106</t>
  </si>
  <si>
    <t>100.07.335</t>
  </si>
  <si>
    <t>PEVI</t>
  </si>
  <si>
    <t>100.07.513</t>
  </si>
  <si>
    <t>Cable negro 1x70 mm2 H07V-KUNE 21031-83</t>
  </si>
  <si>
    <t>100.07.304</t>
  </si>
  <si>
    <t>Cable azul 1x0,75 mm2 H07V-KUNE 21031-83</t>
  </si>
  <si>
    <t>100.07.316</t>
  </si>
  <si>
    <t>Cable am/verde 1x1,5 mm2 H07V-K UNE 21031-83</t>
  </si>
  <si>
    <t>100.07.320</t>
  </si>
  <si>
    <t>Flex H07V-K 10 mm2. Amar/Verde</t>
  </si>
  <si>
    <t>Flex H07V-K 35 mm2. Amar/Verde</t>
  </si>
  <si>
    <t>100.07.404</t>
  </si>
  <si>
    <t>Cable rojo 1x1,5 mm2 H07V-K UNE 21031-83</t>
  </si>
  <si>
    <t>100.07.504</t>
  </si>
  <si>
    <t>Cable negro 1x1,5 mm2 H07V-KUNE 21031-83</t>
  </si>
  <si>
    <t>100.07.505</t>
  </si>
  <si>
    <t>Cable negro 1x2,5 mm2 H07V-KUNE 21031-83</t>
  </si>
  <si>
    <t>100.07.506</t>
  </si>
  <si>
    <t>Cable negro 1x4 mm2 H07V-KUNE 21031-83</t>
  </si>
  <si>
    <t>100.07.508</t>
  </si>
  <si>
    <t>Flex H07V-K 10 mm2. Negro</t>
  </si>
  <si>
    <t>Señalizador ESG 8/17 K MC NE WS</t>
  </si>
  <si>
    <t>Señalizador SM 27/18 K MC NE WS</t>
  </si>
  <si>
    <t>Señalizador TM-I 12 blanco</t>
  </si>
  <si>
    <t>Manguito TM 202/12 VD</t>
  </si>
  <si>
    <t>Señalizador ESG 6/15 K MC NE WS</t>
  </si>
  <si>
    <t>ERI556640</t>
  </si>
  <si>
    <t>MBJ-16-200-8</t>
  </si>
  <si>
    <t>SUMLICY3X0.50</t>
  </si>
  <si>
    <t>Manguera apantallada 3x0,5</t>
  </si>
  <si>
    <t>SUMLICY6X0.50</t>
  </si>
  <si>
    <t>Manguera apantallada 6X0,5 LiYCY (250v)</t>
  </si>
  <si>
    <t>Total material a comprar debido a Kits</t>
  </si>
  <si>
    <t>Total material a comprar debido a Kits + 10%</t>
  </si>
  <si>
    <t>Total material sin los kits</t>
  </si>
  <si>
    <t>Total material sin los kits + 20%</t>
  </si>
  <si>
    <t>Total material</t>
  </si>
  <si>
    <t>Total material + 10 y 20%</t>
  </si>
  <si>
    <t>Armario</t>
  </si>
  <si>
    <t>Esquema</t>
  </si>
  <si>
    <t>Año</t>
  </si>
  <si>
    <t>206.10.600-D</t>
  </si>
  <si>
    <t>C201090</t>
  </si>
  <si>
    <t>Flex H07V-K 1,5 mm2. Blanco (en cubo)</t>
  </si>
  <si>
    <t>C201130</t>
  </si>
  <si>
    <t>Flex H07V-K 2.5 mm2. Blanco (en cubo)</t>
  </si>
  <si>
    <t>C201134</t>
  </si>
  <si>
    <t>Flex H07V-K 2,5 mm2. Rojo</t>
  </si>
  <si>
    <t>AZUL1.5</t>
  </si>
  <si>
    <t>Flex H07V-K 1,5 mm2. Azul (en cubo)</t>
  </si>
  <si>
    <t>Tapa protección entrada fases Según plano 204.18.106-B</t>
  </si>
  <si>
    <t>Tapa protección Según plano 204.09.130-0</t>
  </si>
  <si>
    <t>SOFT708</t>
  </si>
  <si>
    <t>Terminal T-70/8 (20 uds por bolsa)</t>
  </si>
  <si>
    <t>SOFT7012</t>
  </si>
  <si>
    <t>Terminal T-70/12</t>
  </si>
  <si>
    <t>Código</t>
  </si>
  <si>
    <t>Contrapluma 100cv  J280PA</t>
  </si>
  <si>
    <t>206.10.501-A</t>
  </si>
  <si>
    <t>Actualizado</t>
  </si>
  <si>
    <t>Elektra</t>
  </si>
  <si>
    <t>100.90.768</t>
  </si>
  <si>
    <t>Terminal rojo de 0,5 a 1.5 Horquilla de 3</t>
  </si>
  <si>
    <t>100.90.767</t>
  </si>
  <si>
    <t>Terminal en banda de 0.75</t>
  </si>
  <si>
    <t>100.90.790</t>
  </si>
  <si>
    <t>Terminal en banda de 1.50</t>
  </si>
  <si>
    <t>100.90.792</t>
  </si>
  <si>
    <t>Terminal en banda de 2.50</t>
  </si>
  <si>
    <t>100.90.794</t>
  </si>
  <si>
    <t>Terminal de 4 gris</t>
  </si>
  <si>
    <t>100.90.801</t>
  </si>
  <si>
    <t>Terminal 2x1,5mm2</t>
  </si>
  <si>
    <t>06.600.3127.0</t>
  </si>
  <si>
    <t>Terminal rojo para cable de 10 (Wieland 06.600.3127.0)</t>
  </si>
  <si>
    <t>Terminal T-70/10</t>
  </si>
  <si>
    <t>ELEKTRA</t>
  </si>
  <si>
    <t>WIELAND</t>
  </si>
  <si>
    <t>Terminal T-35/10</t>
  </si>
  <si>
    <t>SOFT958</t>
  </si>
  <si>
    <t>Terminal T-95/8</t>
  </si>
  <si>
    <t>100.90.780</t>
  </si>
  <si>
    <t>Terminal azul de 1 a 2.5 Horquilla de 4</t>
  </si>
  <si>
    <t>TMS1015</t>
  </si>
  <si>
    <t>Trenzas TMS 10-200-8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</si>
</sst>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&quot;€&quot;"/>
    <numFmt numFmtId="165" formatCode="#,##0.0000\ &quot;€&quot;"/>
  </numFmts>
  <fonts count="4" x14ac:knownFonts="1"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F5D7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NumberFormat="0" applyBorder="0" applyAlignment="0"/>
  </cellStyleXfs>
  <cellXfs count="41">
    <xf numFmtId="0" fontId="0" fillId="0" borderId="0" xfId="0" applyFill="1" applyProtection="1"/>
    <xf numFmtId="0" fontId="0" fillId="0" borderId="4" xfId="0" applyFill="1" applyBorder="1" applyProtection="1"/>
    <xf numFmtId="0" fontId="0" fillId="0" borderId="5" xfId="0" applyFill="1" applyBorder="1" applyProtection="1"/>
    <xf numFmtId="0" fontId="0" fillId="0" borderId="6" xfId="0" applyFill="1" applyBorder="1" applyProtection="1"/>
    <xf numFmtId="0" fontId="1" fillId="0" borderId="6" xfId="0" applyFont="1" applyFill="1" applyBorder="1" applyProtection="1"/>
    <xf numFmtId="164" fontId="0" fillId="0" borderId="0" xfId="0" applyNumberFormat="1" applyFill="1" applyProtection="1"/>
    <xf numFmtId="164" fontId="0" fillId="0" borderId="5" xfId="0" applyNumberFormat="1" applyFill="1" applyBorder="1" applyProtection="1"/>
    <xf numFmtId="0" fontId="0" fillId="0" borderId="0" xfId="0" applyNumberFormat="1"/>
    <xf numFmtId="0" fontId="0" fillId="0" borderId="5" xfId="0" applyNumberFormat="1" applyBorder="1"/>
    <xf numFmtId="0" fontId="0" fillId="2" borderId="5" xfId="0" applyFill="1" applyBorder="1" applyProtection="1"/>
    <xf numFmtId="164" fontId="0" fillId="2" borderId="5" xfId="0" applyNumberFormat="1" applyFill="1" applyBorder="1" applyProtection="1"/>
    <xf numFmtId="0" fontId="0" fillId="0" borderId="10" xfId="0" applyFill="1" applyBorder="1" applyProtection="1"/>
    <xf numFmtId="0" fontId="0" fillId="0" borderId="11" xfId="0" applyFill="1" applyBorder="1" applyProtection="1"/>
    <xf numFmtId="164" fontId="0" fillId="0" borderId="11" xfId="0" applyNumberFormat="1" applyFill="1" applyBorder="1" applyProtection="1"/>
    <xf numFmtId="0" fontId="0" fillId="0" borderId="12" xfId="0" applyFill="1" applyBorder="1" applyProtection="1"/>
    <xf numFmtId="0" fontId="0" fillId="2" borderId="1" xfId="0" applyFill="1" applyBorder="1" applyProtection="1"/>
    <xf numFmtId="0" fontId="0" fillId="2" borderId="2" xfId="0" applyFill="1" applyBorder="1" applyProtection="1"/>
    <xf numFmtId="164" fontId="0" fillId="2" borderId="2" xfId="0" applyNumberFormat="1" applyFill="1" applyBorder="1" applyProtection="1"/>
    <xf numFmtId="0" fontId="0" fillId="2" borderId="3" xfId="0" applyFill="1" applyBorder="1" applyProtection="1"/>
    <xf numFmtId="0" fontId="0" fillId="2" borderId="4" xfId="0" applyFill="1" applyBorder="1" applyProtection="1"/>
    <xf numFmtId="0" fontId="0" fillId="2" borderId="6" xfId="0" applyFill="1" applyBorder="1" applyProtection="1"/>
    <xf numFmtId="0" fontId="0" fillId="2" borderId="7" xfId="0" applyFill="1" applyBorder="1" applyProtection="1"/>
    <xf numFmtId="0" fontId="0" fillId="2" borderId="8" xfId="0" applyFill="1" applyBorder="1" applyProtection="1"/>
    <xf numFmtId="164" fontId="0" fillId="2" borderId="8" xfId="0" applyNumberFormat="1" applyFill="1" applyBorder="1" applyProtection="1"/>
    <xf numFmtId="0" fontId="0" fillId="2" borderId="9" xfId="0" applyFill="1" applyBorder="1" applyProtection="1"/>
    <xf numFmtId="0" fontId="2" fillId="2" borderId="5" xfId="0" applyFont="1" applyFill="1" applyBorder="1" applyProtection="1"/>
    <xf numFmtId="164" fontId="2" fillId="2" borderId="5" xfId="0" applyNumberFormat="1" applyFont="1" applyFill="1" applyBorder="1" applyProtection="1"/>
    <xf numFmtId="0" fontId="0" fillId="0" borderId="4" xfId="0" applyFill="1" applyBorder="1" applyAlignment="1" applyProtection="1">
      <alignment horizontal="left"/>
    </xf>
    <xf numFmtId="0" fontId="0" fillId="0" borderId="13" xfId="0" applyFill="1" applyBorder="1" applyProtection="1"/>
    <xf numFmtId="0" fontId="0" fillId="0" borderId="14" xfId="0" applyFill="1" applyBorder="1" applyProtection="1"/>
    <xf numFmtId="164" fontId="0" fillId="0" borderId="14" xfId="0" applyNumberFormat="1" applyFill="1" applyBorder="1" applyProtection="1"/>
    <xf numFmtId="0" fontId="0" fillId="0" borderId="15" xfId="0" applyFill="1" applyBorder="1" applyProtection="1"/>
    <xf numFmtId="0" fontId="2" fillId="0" borderId="16" xfId="0" applyFont="1" applyFill="1" applyBorder="1" applyProtection="1"/>
    <xf numFmtId="0" fontId="2" fillId="0" borderId="17" xfId="0" applyFont="1" applyFill="1" applyBorder="1" applyProtection="1"/>
    <xf numFmtId="164" fontId="2" fillId="0" borderId="17" xfId="0" applyNumberFormat="1" applyFont="1" applyFill="1" applyBorder="1" applyProtection="1"/>
    <xf numFmtId="0" fontId="2" fillId="0" borderId="18" xfId="0" applyFont="1" applyFill="1" applyBorder="1" applyProtection="1"/>
    <xf numFmtId="0" fontId="3" fillId="0" borderId="0" xfId="0" applyFont="1" applyFill="1" applyProtection="1"/>
    <xf numFmtId="164" fontId="3" fillId="0" borderId="0" xfId="0" applyNumberFormat="1" applyFont="1" applyFill="1" applyProtection="1"/>
    <xf numFmtId="165" fontId="0" fillId="0" borderId="14" xfId="0" applyNumberFormat="1" applyFill="1" applyBorder="1" applyProtection="1"/>
    <xf numFmtId="165" fontId="0" fillId="0" borderId="5" xfId="0" applyNumberFormat="1" applyFill="1" applyBorder="1" applyProtection="1"/>
    <xf numFmtId="164" fontId="0" fillId="3" borderId="0" xfId="0" applyNumberForma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LLER-HP\Ezarri\Hojas%20de%20cables\206\206.10.6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  <sheetName val="Hoja5"/>
      <sheetName val="Hoja6"/>
      <sheetName val="Hoja7"/>
      <sheetName val="Hoja8"/>
    </sheetNames>
    <sheetDataSet>
      <sheetData sheetId="0"/>
      <sheetData sheetId="1"/>
      <sheetData sheetId="2"/>
      <sheetData sheetId="3"/>
      <sheetData sheetId="4"/>
      <sheetData sheetId="5">
        <row r="8">
          <cell r="E8">
            <v>134.30000000000001</v>
          </cell>
          <cell r="N8">
            <v>6.6000000000000005</v>
          </cell>
        </row>
        <row r="32">
          <cell r="N32">
            <v>15.1</v>
          </cell>
        </row>
        <row r="48">
          <cell r="N48">
            <v>5.5</v>
          </cell>
        </row>
      </sheetData>
      <sheetData sheetId="6">
        <row r="7">
          <cell r="E7">
            <v>55.95</v>
          </cell>
          <cell r="N7">
            <v>31.060000000000002</v>
          </cell>
        </row>
        <row r="45">
          <cell r="N45">
            <v>10.200000000000001</v>
          </cell>
        </row>
        <row r="53">
          <cell r="E53">
            <v>1.5</v>
          </cell>
        </row>
        <row r="57">
          <cell r="E57">
            <v>1.5</v>
          </cell>
        </row>
      </sheetData>
      <sheetData sheetId="7">
        <row r="8">
          <cell r="E8">
            <v>14.55</v>
          </cell>
        </row>
        <row r="18">
          <cell r="E18">
            <v>12.3</v>
          </cell>
        </row>
        <row r="20">
          <cell r="N20">
            <v>7.71</v>
          </cell>
        </row>
        <row r="28">
          <cell r="E28">
            <v>31.51</v>
          </cell>
        </row>
        <row r="38">
          <cell r="N38">
            <v>2.1</v>
          </cell>
        </row>
        <row r="52">
          <cell r="N52">
            <v>1.58</v>
          </cell>
        </row>
        <row r="56">
          <cell r="E56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"/>
  <sheetViews>
    <sheetView tabSelected="1" topLeftCell="A64" workbookViewId="0">
      <selection activeCell="D96" sqref="D96"/>
    </sheetView>
  </sheetViews>
  <sheetFormatPr baseColWidth="10" defaultColWidth="9.140625" defaultRowHeight="15" x14ac:dyDescent="0.25"/>
  <cols>
    <col min="1" max="1" width="15" bestFit="1" customWidth="1"/>
    <col min="2" max="2" width="56.85546875" bestFit="1" customWidth="1"/>
    <col min="3" max="3" width="14.28515625" bestFit="1" customWidth="1"/>
    <col min="5" max="5" width="11.28515625" style="5" bestFit="1" customWidth="1"/>
    <col min="6" max="6" width="14.140625" bestFit="1" customWidth="1"/>
  </cols>
  <sheetData>
    <row r="1" spans="1:6" x14ac:dyDescent="0.25">
      <c r="A1" t="s">
        <v>157</v>
      </c>
      <c r="B1" t="s">
        <v>139</v>
      </c>
      <c r="C1" t="s">
        <v>140</v>
      </c>
      <c r="D1" t="s">
        <v>141</v>
      </c>
      <c r="E1" s="40" t="s">
        <v>160</v>
      </c>
    </row>
    <row r="2" spans="1:6" ht="16.5" thickBot="1" x14ac:dyDescent="0.3">
      <c r="A2" s="36" t="s">
        <v>142</v>
      </c>
      <c r="B2" s="36" t="s">
        <v>158</v>
      </c>
      <c r="C2" s="36" t="s">
        <v>159</v>
      </c>
      <c r="D2" s="36">
        <v>2015</v>
      </c>
      <c r="E2" s="37"/>
      <c r="F2" s="36"/>
    </row>
    <row r="3" spans="1:6" ht="15.75" thickBot="1" x14ac:dyDescent="0.3">
      <c r="A3" s="32" t="s">
        <v>0</v>
      </c>
      <c r="B3" s="33" t="s">
        <v>1</v>
      </c>
      <c r="C3" s="33" t="s">
        <v>2</v>
      </c>
      <c r="D3" s="33" t="s">
        <v>3</v>
      </c>
      <c r="E3" s="34" t="s">
        <v>4</v>
      </c>
      <c r="F3" s="35" t="s">
        <v>5</v>
      </c>
    </row>
    <row r="4" spans="1:6" x14ac:dyDescent="0.25">
      <c r="A4" s="28" t="s">
        <v>6</v>
      </c>
      <c r="B4" s="29" t="s">
        <v>7</v>
      </c>
      <c r="C4" s="38">
        <v>1.48</v>
      </c>
      <c r="D4" s="29">
        <v>2.4249999999999998</v>
      </c>
      <c r="E4" s="30">
        <f>C4*D4</f>
        <v>3.5889999999999995</v>
      </c>
      <c r="F4" s="31" t="s">
        <v>8</v>
      </c>
    </row>
    <row r="5" spans="1:6" x14ac:dyDescent="0.25">
      <c r="A5" s="1" t="s">
        <v>9</v>
      </c>
      <c r="B5" s="2" t="s">
        <v>10</v>
      </c>
      <c r="C5" s="39">
        <v>2.33</v>
      </c>
      <c r="D5" s="2">
        <v>0.35</v>
      </c>
      <c r="E5" s="6">
        <f t="shared" ref="E5:E71" si="0">C5*D5</f>
        <v>0.8155</v>
      </c>
      <c r="F5" s="3" t="s">
        <v>8</v>
      </c>
    </row>
    <row r="6" spans="1:6" x14ac:dyDescent="0.25">
      <c r="A6" s="1" t="s">
        <v>11</v>
      </c>
      <c r="B6" s="2" t="s">
        <v>12</v>
      </c>
      <c r="C6" s="39">
        <v>3.6006659999999999</v>
      </c>
      <c r="D6" s="2">
        <v>2.4249999999999998</v>
      </c>
      <c r="E6" s="6">
        <f t="shared" si="0"/>
        <v>8.7316150499999985</v>
      </c>
      <c r="F6" s="3" t="s">
        <v>8</v>
      </c>
    </row>
    <row r="7" spans="1:6" x14ac:dyDescent="0.25">
      <c r="A7" s="1" t="s">
        <v>13</v>
      </c>
      <c r="B7" s="2" t="s">
        <v>14</v>
      </c>
      <c r="C7" s="39">
        <v>3.0819999999999999</v>
      </c>
      <c r="D7" s="2">
        <v>3.5750000000000002</v>
      </c>
      <c r="E7" s="6">
        <f t="shared" si="0"/>
        <v>11.01815</v>
      </c>
      <c r="F7" s="3" t="s">
        <v>8</v>
      </c>
    </row>
    <row r="8" spans="1:6" x14ac:dyDescent="0.25">
      <c r="A8" s="1"/>
      <c r="B8" s="2"/>
      <c r="C8" s="39"/>
      <c r="D8" s="2"/>
      <c r="E8" s="6"/>
      <c r="F8" s="3"/>
    </row>
    <row r="9" spans="1:6" x14ac:dyDescent="0.25">
      <c r="A9" s="1" t="s">
        <v>67</v>
      </c>
      <c r="B9" s="2" t="s">
        <v>68</v>
      </c>
      <c r="C9" s="39">
        <v>3.3599999999999998E-2</v>
      </c>
      <c r="D9" s="2">
        <v>30</v>
      </c>
      <c r="E9" s="6">
        <f t="shared" si="0"/>
        <v>1.008</v>
      </c>
      <c r="F9" s="3" t="s">
        <v>8</v>
      </c>
    </row>
    <row r="10" spans="1:6" x14ac:dyDescent="0.25">
      <c r="A10" s="1"/>
      <c r="B10" s="2"/>
      <c r="C10" s="39"/>
      <c r="D10" s="2"/>
      <c r="E10" s="6"/>
      <c r="F10" s="3"/>
    </row>
    <row r="11" spans="1:6" x14ac:dyDescent="0.25">
      <c r="A11" s="1" t="s">
        <v>97</v>
      </c>
      <c r="B11" s="2" t="s">
        <v>98</v>
      </c>
      <c r="C11" s="39">
        <v>35.44</v>
      </c>
      <c r="D11" s="2">
        <v>1</v>
      </c>
      <c r="E11" s="6">
        <f t="shared" si="0"/>
        <v>35.44</v>
      </c>
      <c r="F11" s="3" t="s">
        <v>99</v>
      </c>
    </row>
    <row r="12" spans="1:6" x14ac:dyDescent="0.25">
      <c r="A12" s="1"/>
      <c r="B12" s="2"/>
      <c r="C12" s="39"/>
      <c r="D12" s="2"/>
      <c r="E12" s="6"/>
      <c r="F12" s="3"/>
    </row>
    <row r="13" spans="1:6" x14ac:dyDescent="0.25">
      <c r="A13" s="1" t="s">
        <v>21</v>
      </c>
      <c r="B13" s="2" t="s">
        <v>22</v>
      </c>
      <c r="C13" s="39">
        <v>1.8800000000000001E-2</v>
      </c>
      <c r="D13" s="2">
        <v>17</v>
      </c>
      <c r="E13" s="6">
        <f t="shared" si="0"/>
        <v>0.3196</v>
      </c>
      <c r="F13" s="3" t="s">
        <v>23</v>
      </c>
    </row>
    <row r="14" spans="1:6" x14ac:dyDescent="0.25">
      <c r="A14" s="1"/>
      <c r="B14" s="2"/>
      <c r="C14" s="39"/>
      <c r="D14" s="2"/>
      <c r="E14" s="6"/>
      <c r="F14" s="3"/>
    </row>
    <row r="15" spans="1:6" x14ac:dyDescent="0.25">
      <c r="A15" s="1" t="s">
        <v>78</v>
      </c>
      <c r="B15" s="2" t="s">
        <v>79</v>
      </c>
      <c r="C15" s="39">
        <v>0.15</v>
      </c>
      <c r="D15" s="2">
        <v>1</v>
      </c>
      <c r="E15" s="6">
        <f t="shared" si="0"/>
        <v>0.15</v>
      </c>
      <c r="F15" s="3" t="s">
        <v>80</v>
      </c>
    </row>
    <row r="16" spans="1:6" x14ac:dyDescent="0.25">
      <c r="A16" s="1" t="s">
        <v>86</v>
      </c>
      <c r="B16" s="2" t="s">
        <v>87</v>
      </c>
      <c r="C16" s="39">
        <v>0.38329999999999997</v>
      </c>
      <c r="D16" s="2">
        <v>1</v>
      </c>
      <c r="E16" s="6">
        <f t="shared" si="0"/>
        <v>0.38329999999999997</v>
      </c>
      <c r="F16" s="3" t="s">
        <v>80</v>
      </c>
    </row>
    <row r="17" spans="1:6" x14ac:dyDescent="0.25">
      <c r="A17" s="1"/>
      <c r="B17" s="2"/>
      <c r="C17" s="39"/>
      <c r="D17" s="2"/>
      <c r="E17" s="6"/>
      <c r="F17" s="3"/>
    </row>
    <row r="18" spans="1:6" x14ac:dyDescent="0.25">
      <c r="A18" s="1" t="s">
        <v>24</v>
      </c>
      <c r="B18" s="2" t="s">
        <v>25</v>
      </c>
      <c r="C18" s="39">
        <v>8.9599999999999992E-3</v>
      </c>
      <c r="D18" s="2">
        <v>6</v>
      </c>
      <c r="E18" s="6">
        <f t="shared" si="0"/>
        <v>5.3759999999999995E-2</v>
      </c>
      <c r="F18" s="3" t="s">
        <v>26</v>
      </c>
    </row>
    <row r="19" spans="1:6" x14ac:dyDescent="0.25">
      <c r="A19" s="1" t="s">
        <v>27</v>
      </c>
      <c r="B19" s="2" t="s">
        <v>28</v>
      </c>
      <c r="C19" s="39">
        <v>1.6230000000000001E-2</v>
      </c>
      <c r="D19" s="2">
        <v>2</v>
      </c>
      <c r="E19" s="6">
        <f t="shared" si="0"/>
        <v>3.2460000000000003E-2</v>
      </c>
      <c r="F19" s="3" t="s">
        <v>26</v>
      </c>
    </row>
    <row r="20" spans="1:6" x14ac:dyDescent="0.25">
      <c r="A20" s="1" t="s">
        <v>29</v>
      </c>
      <c r="B20" s="2" t="s">
        <v>30</v>
      </c>
      <c r="C20" s="39">
        <v>1.3762999999999999E-2</v>
      </c>
      <c r="D20" s="2">
        <v>14</v>
      </c>
      <c r="E20" s="6">
        <f t="shared" si="0"/>
        <v>0.19268199999999999</v>
      </c>
      <c r="F20" s="3" t="s">
        <v>26</v>
      </c>
    </row>
    <row r="21" spans="1:6" x14ac:dyDescent="0.25">
      <c r="A21" s="1" t="s">
        <v>31</v>
      </c>
      <c r="B21" s="2" t="s">
        <v>32</v>
      </c>
      <c r="C21" s="39">
        <v>3.3930000000000002E-2</v>
      </c>
      <c r="D21" s="2">
        <v>4</v>
      </c>
      <c r="E21" s="6">
        <f t="shared" si="0"/>
        <v>0.13572000000000001</v>
      </c>
      <c r="F21" s="3" t="s">
        <v>26</v>
      </c>
    </row>
    <row r="22" spans="1:6" x14ac:dyDescent="0.25">
      <c r="A22" s="1" t="s">
        <v>33</v>
      </c>
      <c r="B22" s="2" t="s">
        <v>34</v>
      </c>
      <c r="C22" s="39">
        <v>5.8900000000000001E-2</v>
      </c>
      <c r="D22" s="2">
        <v>4</v>
      </c>
      <c r="E22" s="6">
        <f t="shared" si="0"/>
        <v>0.2356</v>
      </c>
      <c r="F22" s="3" t="s">
        <v>26</v>
      </c>
    </row>
    <row r="23" spans="1:6" x14ac:dyDescent="0.25">
      <c r="A23" s="1" t="s">
        <v>35</v>
      </c>
      <c r="B23" s="2" t="s">
        <v>36</v>
      </c>
      <c r="C23" s="39">
        <v>8.8889999999999997E-2</v>
      </c>
      <c r="D23" s="2">
        <v>4</v>
      </c>
      <c r="E23" s="6">
        <f t="shared" si="0"/>
        <v>0.35555999999999999</v>
      </c>
      <c r="F23" s="3" t="s">
        <v>26</v>
      </c>
    </row>
    <row r="24" spans="1:6" x14ac:dyDescent="0.25">
      <c r="A24" s="1" t="s">
        <v>37</v>
      </c>
      <c r="B24" s="2" t="s">
        <v>38</v>
      </c>
      <c r="C24" s="39">
        <v>0.15184</v>
      </c>
      <c r="D24" s="2">
        <v>4</v>
      </c>
      <c r="E24" s="6">
        <f t="shared" si="0"/>
        <v>0.60736000000000001</v>
      </c>
      <c r="F24" s="3" t="s">
        <v>26</v>
      </c>
    </row>
    <row r="25" spans="1:6" x14ac:dyDescent="0.25">
      <c r="A25" s="1" t="s">
        <v>39</v>
      </c>
      <c r="B25" s="2" t="s">
        <v>40</v>
      </c>
      <c r="C25" s="39">
        <v>3.0000000000000001E-3</v>
      </c>
      <c r="D25" s="2">
        <v>14</v>
      </c>
      <c r="E25" s="6">
        <f t="shared" si="0"/>
        <v>4.2000000000000003E-2</v>
      </c>
      <c r="F25" s="3" t="s">
        <v>26</v>
      </c>
    </row>
    <row r="26" spans="1:6" x14ac:dyDescent="0.25">
      <c r="A26" s="1" t="s">
        <v>41</v>
      </c>
      <c r="B26" s="2" t="s">
        <v>42</v>
      </c>
      <c r="C26" s="39">
        <v>6.0099999999999997E-3</v>
      </c>
      <c r="D26" s="2">
        <v>6</v>
      </c>
      <c r="E26" s="6">
        <f t="shared" si="0"/>
        <v>3.6059999999999995E-2</v>
      </c>
      <c r="F26" s="3" t="s">
        <v>26</v>
      </c>
    </row>
    <row r="27" spans="1:6" x14ac:dyDescent="0.25">
      <c r="A27" s="1" t="s">
        <v>43</v>
      </c>
      <c r="B27" s="2" t="s">
        <v>44</v>
      </c>
      <c r="C27" s="39">
        <v>1.8030000000000001E-2</v>
      </c>
      <c r="D27" s="2">
        <v>16</v>
      </c>
      <c r="E27" s="6">
        <f t="shared" si="0"/>
        <v>0.28848000000000001</v>
      </c>
      <c r="F27" s="3" t="s">
        <v>26</v>
      </c>
    </row>
    <row r="28" spans="1:6" x14ac:dyDescent="0.25">
      <c r="A28" s="1" t="s">
        <v>45</v>
      </c>
      <c r="B28" s="2" t="s">
        <v>46</v>
      </c>
      <c r="C28" s="39">
        <v>2.8500000000000001E-2</v>
      </c>
      <c r="D28" s="2">
        <v>12</v>
      </c>
      <c r="E28" s="6">
        <f t="shared" si="0"/>
        <v>0.34200000000000003</v>
      </c>
      <c r="F28" s="3" t="s">
        <v>26</v>
      </c>
    </row>
    <row r="29" spans="1:6" x14ac:dyDescent="0.25">
      <c r="A29" s="1" t="s">
        <v>47</v>
      </c>
      <c r="B29" s="2" t="s">
        <v>48</v>
      </c>
      <c r="C29" s="39">
        <v>1.08E-3</v>
      </c>
      <c r="D29" s="2">
        <v>6</v>
      </c>
      <c r="E29" s="6">
        <f t="shared" si="0"/>
        <v>6.4799999999999996E-3</v>
      </c>
      <c r="F29" s="3" t="s">
        <v>26</v>
      </c>
    </row>
    <row r="30" spans="1:6" x14ac:dyDescent="0.25">
      <c r="A30" s="1" t="s">
        <v>49</v>
      </c>
      <c r="B30" s="2" t="s">
        <v>50</v>
      </c>
      <c r="C30" s="39">
        <v>1.9E-3</v>
      </c>
      <c r="D30" s="2">
        <v>2</v>
      </c>
      <c r="E30" s="6">
        <f t="shared" si="0"/>
        <v>3.8E-3</v>
      </c>
      <c r="F30" s="3" t="s">
        <v>26</v>
      </c>
    </row>
    <row r="31" spans="1:6" x14ac:dyDescent="0.25">
      <c r="A31" s="1" t="s">
        <v>51</v>
      </c>
      <c r="B31" s="2" t="s">
        <v>52</v>
      </c>
      <c r="C31" s="39">
        <v>2.2799999999999999E-3</v>
      </c>
      <c r="D31" s="2">
        <v>24</v>
      </c>
      <c r="E31" s="6">
        <f t="shared" si="0"/>
        <v>5.4719999999999998E-2</v>
      </c>
      <c r="F31" s="3" t="s">
        <v>26</v>
      </c>
    </row>
    <row r="32" spans="1:6" x14ac:dyDescent="0.25">
      <c r="A32" s="1" t="s">
        <v>53</v>
      </c>
      <c r="B32" s="2" t="s">
        <v>54</v>
      </c>
      <c r="C32" s="39">
        <v>3.48E-3</v>
      </c>
      <c r="D32" s="2">
        <v>9</v>
      </c>
      <c r="E32" s="6">
        <f t="shared" si="0"/>
        <v>3.1320000000000001E-2</v>
      </c>
      <c r="F32" s="3" t="s">
        <v>26</v>
      </c>
    </row>
    <row r="33" spans="1:6" x14ac:dyDescent="0.25">
      <c r="A33" s="1" t="s">
        <v>55</v>
      </c>
      <c r="B33" s="2" t="s">
        <v>56</v>
      </c>
      <c r="C33" s="39">
        <v>6.96E-3</v>
      </c>
      <c r="D33" s="2">
        <v>20</v>
      </c>
      <c r="E33" s="6">
        <f t="shared" si="0"/>
        <v>0.13919999999999999</v>
      </c>
      <c r="F33" s="3" t="s">
        <v>26</v>
      </c>
    </row>
    <row r="34" spans="1:6" x14ac:dyDescent="0.25">
      <c r="A34" s="1" t="s">
        <v>57</v>
      </c>
      <c r="B34" s="2" t="s">
        <v>58</v>
      </c>
      <c r="C34" s="39">
        <v>1.157E-2</v>
      </c>
      <c r="D34" s="2">
        <v>4</v>
      </c>
      <c r="E34" s="6">
        <f t="shared" si="0"/>
        <v>4.6280000000000002E-2</v>
      </c>
      <c r="F34" s="3" t="s">
        <v>26</v>
      </c>
    </row>
    <row r="35" spans="1:6" x14ac:dyDescent="0.25">
      <c r="A35" s="1" t="s">
        <v>59</v>
      </c>
      <c r="B35" s="2" t="s">
        <v>60</v>
      </c>
      <c r="C35" s="39">
        <v>2.8900000000000002E-3</v>
      </c>
      <c r="D35" s="2">
        <v>14</v>
      </c>
      <c r="E35" s="6">
        <f t="shared" si="0"/>
        <v>4.0460000000000003E-2</v>
      </c>
      <c r="F35" s="3" t="s">
        <v>26</v>
      </c>
    </row>
    <row r="36" spans="1:6" x14ac:dyDescent="0.25">
      <c r="A36" s="1" t="s">
        <v>61</v>
      </c>
      <c r="B36" s="2" t="s">
        <v>62</v>
      </c>
      <c r="C36" s="39">
        <v>4.45E-3</v>
      </c>
      <c r="D36" s="2">
        <v>5</v>
      </c>
      <c r="E36" s="6">
        <f t="shared" si="0"/>
        <v>2.2249999999999999E-2</v>
      </c>
      <c r="F36" s="3" t="s">
        <v>26</v>
      </c>
    </row>
    <row r="37" spans="1:6" x14ac:dyDescent="0.25">
      <c r="A37" s="1" t="s">
        <v>63</v>
      </c>
      <c r="B37" s="2" t="s">
        <v>64</v>
      </c>
      <c r="C37" s="39">
        <v>7.2700000000000004E-3</v>
      </c>
      <c r="D37" s="2">
        <v>12</v>
      </c>
      <c r="E37" s="6">
        <f t="shared" si="0"/>
        <v>8.7240000000000012E-2</v>
      </c>
      <c r="F37" s="3" t="s">
        <v>26</v>
      </c>
    </row>
    <row r="38" spans="1:6" x14ac:dyDescent="0.25">
      <c r="A38" s="1" t="s">
        <v>65</v>
      </c>
      <c r="B38" s="2" t="s">
        <v>66</v>
      </c>
      <c r="C38" s="39">
        <v>1.106E-2</v>
      </c>
      <c r="D38" s="2">
        <v>8</v>
      </c>
      <c r="E38" s="6">
        <f t="shared" si="0"/>
        <v>8.8480000000000003E-2</v>
      </c>
      <c r="F38" s="3" t="s">
        <v>26</v>
      </c>
    </row>
    <row r="39" spans="1:6" x14ac:dyDescent="0.25">
      <c r="A39" s="1" t="s">
        <v>91</v>
      </c>
      <c r="B39" s="2" t="s">
        <v>92</v>
      </c>
      <c r="C39" s="39">
        <v>1.064E-2</v>
      </c>
      <c r="D39" s="2">
        <v>4</v>
      </c>
      <c r="E39" s="6">
        <f t="shared" si="0"/>
        <v>4.2560000000000001E-2</v>
      </c>
      <c r="F39" s="3" t="s">
        <v>26</v>
      </c>
    </row>
    <row r="40" spans="1:6" x14ac:dyDescent="0.25">
      <c r="A40" s="1" t="s">
        <v>49</v>
      </c>
      <c r="B40" s="2" t="s">
        <v>50</v>
      </c>
      <c r="C40" s="39">
        <v>1.9E-3</v>
      </c>
      <c r="D40" s="2">
        <v>4</v>
      </c>
      <c r="E40" s="6">
        <f t="shared" si="0"/>
        <v>7.6E-3</v>
      </c>
      <c r="F40" s="3" t="s">
        <v>26</v>
      </c>
    </row>
    <row r="41" spans="1:6" x14ac:dyDescent="0.25">
      <c r="A41" s="1" t="s">
        <v>93</v>
      </c>
      <c r="B41" s="2" t="s">
        <v>94</v>
      </c>
      <c r="C41" s="39">
        <v>1.6800000000000001E-3</v>
      </c>
      <c r="D41" s="2">
        <v>4</v>
      </c>
      <c r="E41" s="6">
        <f t="shared" si="0"/>
        <v>6.7200000000000003E-3</v>
      </c>
      <c r="F41" s="3" t="s">
        <v>26</v>
      </c>
    </row>
    <row r="42" spans="1:6" x14ac:dyDescent="0.25">
      <c r="A42" s="1"/>
      <c r="B42" s="2"/>
      <c r="C42" s="39"/>
      <c r="D42" s="2"/>
      <c r="E42" s="6"/>
      <c r="F42" s="3"/>
    </row>
    <row r="43" spans="1:6" x14ac:dyDescent="0.25">
      <c r="A43" s="1" t="s">
        <v>18</v>
      </c>
      <c r="B43" s="2" t="s">
        <v>19</v>
      </c>
      <c r="C43" s="39">
        <v>39.950000000000003</v>
      </c>
      <c r="D43" s="2">
        <v>1</v>
      </c>
      <c r="E43" s="6">
        <f t="shared" si="0"/>
        <v>39.950000000000003</v>
      </c>
      <c r="F43" s="3" t="s">
        <v>20</v>
      </c>
    </row>
    <row r="44" spans="1:6" x14ac:dyDescent="0.25">
      <c r="A44" s="1" t="s">
        <v>15</v>
      </c>
      <c r="B44" s="2" t="s">
        <v>16</v>
      </c>
      <c r="C44" s="39">
        <v>5.04</v>
      </c>
      <c r="D44" s="2">
        <v>1</v>
      </c>
      <c r="E44" s="6">
        <f t="shared" si="0"/>
        <v>5.04</v>
      </c>
      <c r="F44" s="4" t="s">
        <v>17</v>
      </c>
    </row>
    <row r="45" spans="1:6" x14ac:dyDescent="0.25">
      <c r="A45" s="1"/>
      <c r="B45" s="2"/>
      <c r="C45" s="39"/>
      <c r="D45" s="2"/>
      <c r="E45" s="6"/>
      <c r="F45" s="3"/>
    </row>
    <row r="46" spans="1:6" x14ac:dyDescent="0.25">
      <c r="A46" s="1" t="s">
        <v>69</v>
      </c>
      <c r="B46" s="2" t="s">
        <v>70</v>
      </c>
      <c r="C46" s="39">
        <v>1.47</v>
      </c>
      <c r="D46" s="2">
        <v>12</v>
      </c>
      <c r="E46" s="6">
        <f t="shared" si="0"/>
        <v>17.64</v>
      </c>
      <c r="F46" s="3" t="s">
        <v>71</v>
      </c>
    </row>
    <row r="47" spans="1:6" x14ac:dyDescent="0.25">
      <c r="A47" s="1" t="s">
        <v>72</v>
      </c>
      <c r="B47" s="2" t="s">
        <v>73</v>
      </c>
      <c r="C47" s="39">
        <v>0.99</v>
      </c>
      <c r="D47" s="2">
        <v>12</v>
      </c>
      <c r="E47" s="6">
        <f t="shared" si="0"/>
        <v>11.879999999999999</v>
      </c>
      <c r="F47" s="3" t="s">
        <v>71</v>
      </c>
    </row>
    <row r="48" spans="1:6" x14ac:dyDescent="0.25">
      <c r="A48" s="1" t="s">
        <v>74</v>
      </c>
      <c r="B48" s="2" t="s">
        <v>75</v>
      </c>
      <c r="C48" s="39">
        <v>0.13</v>
      </c>
      <c r="D48" s="2">
        <v>12</v>
      </c>
      <c r="E48" s="6">
        <f t="shared" si="0"/>
        <v>1.56</v>
      </c>
      <c r="F48" s="3" t="s">
        <v>71</v>
      </c>
    </row>
    <row r="49" spans="1:6" x14ac:dyDescent="0.25">
      <c r="A49" s="1"/>
      <c r="B49" s="2"/>
      <c r="C49" s="39"/>
      <c r="D49" s="2"/>
      <c r="E49" s="6">
        <f t="shared" si="0"/>
        <v>0</v>
      </c>
      <c r="F49" s="3"/>
    </row>
    <row r="50" spans="1:6" x14ac:dyDescent="0.25">
      <c r="A50" s="1" t="s">
        <v>162</v>
      </c>
      <c r="B50" s="2" t="s">
        <v>163</v>
      </c>
      <c r="C50" s="39">
        <v>6.1100000000000002E-2</v>
      </c>
      <c r="D50" s="2">
        <v>3</v>
      </c>
      <c r="E50" s="6">
        <f t="shared" si="0"/>
        <v>0.18330000000000002</v>
      </c>
      <c r="F50" s="3" t="s">
        <v>177</v>
      </c>
    </row>
    <row r="51" spans="1:6" x14ac:dyDescent="0.25">
      <c r="A51" s="1" t="s">
        <v>182</v>
      </c>
      <c r="B51" s="2" t="s">
        <v>183</v>
      </c>
      <c r="C51" s="39">
        <v>4.9700000000000001E-2</v>
      </c>
      <c r="D51" s="2">
        <v>2</v>
      </c>
      <c r="E51" s="6">
        <f t="shared" si="0"/>
        <v>9.9400000000000002E-2</v>
      </c>
      <c r="F51" s="3" t="s">
        <v>177</v>
      </c>
    </row>
    <row r="52" spans="1:6" x14ac:dyDescent="0.25">
      <c r="A52" s="1" t="s">
        <v>164</v>
      </c>
      <c r="B52" s="2" t="s">
        <v>165</v>
      </c>
      <c r="C52" s="39">
        <v>9.2899999999999996E-3</v>
      </c>
      <c r="D52" s="2">
        <v>110</v>
      </c>
      <c r="E52" s="6">
        <f t="shared" si="0"/>
        <v>1.0219</v>
      </c>
      <c r="F52" s="3" t="s">
        <v>177</v>
      </c>
    </row>
    <row r="53" spans="1:6" x14ac:dyDescent="0.25">
      <c r="A53" s="1" t="s">
        <v>166</v>
      </c>
      <c r="B53" s="2" t="s">
        <v>167</v>
      </c>
      <c r="C53" s="39">
        <v>9.2899999999999996E-3</v>
      </c>
      <c r="D53" s="2">
        <v>800</v>
      </c>
      <c r="E53" s="6">
        <f t="shared" si="0"/>
        <v>7.4319999999999995</v>
      </c>
      <c r="F53" s="3" t="s">
        <v>177</v>
      </c>
    </row>
    <row r="54" spans="1:6" x14ac:dyDescent="0.25">
      <c r="A54" s="1" t="s">
        <v>168</v>
      </c>
      <c r="B54" s="2" t="s">
        <v>169</v>
      </c>
      <c r="C54" s="39">
        <v>1.014E-2</v>
      </c>
      <c r="D54" s="2">
        <v>128</v>
      </c>
      <c r="E54" s="6">
        <f t="shared" si="0"/>
        <v>1.29792</v>
      </c>
      <c r="F54" s="3" t="s">
        <v>177</v>
      </c>
    </row>
    <row r="55" spans="1:6" x14ac:dyDescent="0.25">
      <c r="A55" s="1" t="s">
        <v>170</v>
      </c>
      <c r="B55" s="2" t="s">
        <v>171</v>
      </c>
      <c r="C55" s="39">
        <v>0.1</v>
      </c>
      <c r="D55" s="2">
        <v>6</v>
      </c>
      <c r="E55" s="6">
        <f t="shared" si="0"/>
        <v>0.60000000000000009</v>
      </c>
      <c r="F55" s="3" t="s">
        <v>83</v>
      </c>
    </row>
    <row r="56" spans="1:6" x14ac:dyDescent="0.25">
      <c r="A56" s="1" t="s">
        <v>172</v>
      </c>
      <c r="B56" s="2" t="s">
        <v>173</v>
      </c>
      <c r="C56" s="39">
        <v>1.44E-2</v>
      </c>
      <c r="D56" s="2">
        <v>20</v>
      </c>
      <c r="E56" s="6">
        <f t="shared" si="0"/>
        <v>0.28799999999999998</v>
      </c>
      <c r="F56" s="3" t="s">
        <v>178</v>
      </c>
    </row>
    <row r="57" spans="1:6" x14ac:dyDescent="0.25">
      <c r="A57" s="1" t="s">
        <v>174</v>
      </c>
      <c r="B57" s="2" t="s">
        <v>175</v>
      </c>
      <c r="C57" s="39"/>
      <c r="D57" s="2">
        <v>9</v>
      </c>
      <c r="E57" s="6">
        <f t="shared" si="0"/>
        <v>0</v>
      </c>
      <c r="F57" s="3" t="s">
        <v>178</v>
      </c>
    </row>
    <row r="58" spans="1:6" x14ac:dyDescent="0.25">
      <c r="A58" s="1" t="s">
        <v>76</v>
      </c>
      <c r="B58" s="2" t="s">
        <v>179</v>
      </c>
      <c r="C58" s="39">
        <v>0.3196</v>
      </c>
      <c r="D58" s="2">
        <v>5</v>
      </c>
      <c r="E58" s="6">
        <f t="shared" si="0"/>
        <v>1.5979999999999999</v>
      </c>
      <c r="F58" s="3" t="s">
        <v>8</v>
      </c>
    </row>
    <row r="59" spans="1:6" x14ac:dyDescent="0.25">
      <c r="A59" s="1" t="s">
        <v>155</v>
      </c>
      <c r="B59" s="2" t="s">
        <v>156</v>
      </c>
      <c r="C59" s="39"/>
      <c r="D59" s="2">
        <v>4</v>
      </c>
      <c r="E59" s="6">
        <f t="shared" si="0"/>
        <v>0</v>
      </c>
      <c r="F59" s="3" t="s">
        <v>8</v>
      </c>
    </row>
    <row r="60" spans="1:6" x14ac:dyDescent="0.25">
      <c r="A60" s="1" t="s">
        <v>77</v>
      </c>
      <c r="B60" s="2" t="s">
        <v>176</v>
      </c>
      <c r="C60" s="39">
        <v>0.63600000000000001</v>
      </c>
      <c r="D60" s="2">
        <v>3</v>
      </c>
      <c r="E60" s="6">
        <f t="shared" si="0"/>
        <v>1.9079999999999999</v>
      </c>
      <c r="F60" s="3" t="s">
        <v>8</v>
      </c>
    </row>
    <row r="61" spans="1:6" x14ac:dyDescent="0.25">
      <c r="A61" s="1" t="s">
        <v>153</v>
      </c>
      <c r="B61" s="2" t="s">
        <v>154</v>
      </c>
      <c r="C61" s="39">
        <v>0.63600000000000001</v>
      </c>
      <c r="D61" s="2">
        <v>3</v>
      </c>
      <c r="E61" s="6">
        <f t="shared" si="0"/>
        <v>1.9079999999999999</v>
      </c>
      <c r="F61" s="3" t="s">
        <v>8</v>
      </c>
    </row>
    <row r="62" spans="1:6" x14ac:dyDescent="0.25">
      <c r="A62" s="1" t="s">
        <v>180</v>
      </c>
      <c r="B62" s="2" t="s">
        <v>181</v>
      </c>
      <c r="C62" s="39">
        <v>0.86399999999999999</v>
      </c>
      <c r="D62" s="2">
        <v>3</v>
      </c>
      <c r="E62" s="6">
        <f t="shared" ref="E62" si="1">C62*D62</f>
        <v>2.5920000000000001</v>
      </c>
      <c r="F62" s="3" t="s">
        <v>8</v>
      </c>
    </row>
    <row r="63" spans="1:6" x14ac:dyDescent="0.25">
      <c r="A63" s="1"/>
      <c r="B63" s="2"/>
      <c r="C63" s="39"/>
      <c r="D63" s="2"/>
      <c r="E63" s="6"/>
      <c r="F63" s="3"/>
    </row>
    <row r="64" spans="1:6" x14ac:dyDescent="0.25">
      <c r="A64" s="1" t="s">
        <v>105</v>
      </c>
      <c r="B64" s="2" t="s">
        <v>106</v>
      </c>
      <c r="C64" s="39">
        <v>6.13E-2</v>
      </c>
      <c r="D64" s="2">
        <f>[1]Hoja7!$E$7</f>
        <v>55.95</v>
      </c>
      <c r="E64" s="6">
        <f t="shared" si="0"/>
        <v>3.429735</v>
      </c>
      <c r="F64" s="3" t="s">
        <v>102</v>
      </c>
    </row>
    <row r="65" spans="1:6" x14ac:dyDescent="0.25">
      <c r="A65" s="1" t="s">
        <v>107</v>
      </c>
      <c r="B65" s="2" t="s">
        <v>108</v>
      </c>
      <c r="C65" s="39">
        <v>9.7600000000000006E-2</v>
      </c>
      <c r="D65" s="2">
        <f>[1]Hoja6!$N$48</f>
        <v>5.5</v>
      </c>
      <c r="E65" s="6">
        <f t="shared" si="0"/>
        <v>0.53680000000000005</v>
      </c>
      <c r="F65" s="3" t="s">
        <v>102</v>
      </c>
    </row>
    <row r="66" spans="1:6" x14ac:dyDescent="0.25">
      <c r="A66" s="1" t="s">
        <v>109</v>
      </c>
      <c r="B66" s="2" t="s">
        <v>110</v>
      </c>
      <c r="C66" s="39">
        <v>0.63329999999999997</v>
      </c>
      <c r="D66" s="2">
        <f>[1]Hoja8!$N$38</f>
        <v>2.1</v>
      </c>
      <c r="E66" s="6">
        <f t="shared" si="0"/>
        <v>1.3299300000000001</v>
      </c>
      <c r="F66" s="3" t="s">
        <v>102</v>
      </c>
    </row>
    <row r="67" spans="1:6" x14ac:dyDescent="0.25">
      <c r="A67" s="1" t="s">
        <v>112</v>
      </c>
      <c r="B67" s="2" t="s">
        <v>113</v>
      </c>
      <c r="C67" s="39">
        <v>0.10630000000000001</v>
      </c>
      <c r="D67" s="2">
        <f>[1]Hoja6!$E$8</f>
        <v>134.30000000000001</v>
      </c>
      <c r="E67" s="6">
        <f t="shared" si="0"/>
        <v>14.276090000000002</v>
      </c>
      <c r="F67" s="3" t="s">
        <v>102</v>
      </c>
    </row>
    <row r="68" spans="1:6" x14ac:dyDescent="0.25">
      <c r="A68" s="1" t="s">
        <v>114</v>
      </c>
      <c r="B68" s="2" t="s">
        <v>115</v>
      </c>
      <c r="C68" s="39">
        <v>0.10630000000000001</v>
      </c>
      <c r="D68" s="2">
        <f>[1]Hoja7!$N$7</f>
        <v>31.060000000000002</v>
      </c>
      <c r="E68" s="6">
        <f t="shared" si="0"/>
        <v>3.3016780000000003</v>
      </c>
      <c r="F68" s="3" t="s">
        <v>102</v>
      </c>
    </row>
    <row r="69" spans="1:6" x14ac:dyDescent="0.25">
      <c r="A69" s="1" t="s">
        <v>116</v>
      </c>
      <c r="B69" s="2" t="s">
        <v>117</v>
      </c>
      <c r="C69" s="39">
        <v>0.17249999999999999</v>
      </c>
      <c r="D69" s="2">
        <f>[1]Hoja8!$E$28</f>
        <v>31.51</v>
      </c>
      <c r="E69" s="6">
        <f t="shared" si="0"/>
        <v>5.4354750000000003</v>
      </c>
      <c r="F69" s="3" t="s">
        <v>102</v>
      </c>
    </row>
    <row r="70" spans="1:6" x14ac:dyDescent="0.25">
      <c r="A70" s="1" t="s">
        <v>118</v>
      </c>
      <c r="B70" s="2" t="s">
        <v>119</v>
      </c>
      <c r="C70" s="39">
        <v>0.22470000000000001</v>
      </c>
      <c r="D70" s="2">
        <f>[1]Hoja8!$E$8</f>
        <v>14.55</v>
      </c>
      <c r="E70" s="6">
        <f t="shared" si="0"/>
        <v>3.2693850000000002</v>
      </c>
      <c r="F70" s="3" t="s">
        <v>102</v>
      </c>
    </row>
    <row r="71" spans="1:6" x14ac:dyDescent="0.25">
      <c r="A71" s="1" t="s">
        <v>120</v>
      </c>
      <c r="B71" s="2" t="s">
        <v>121</v>
      </c>
      <c r="C71" s="39">
        <v>0.66190000000000004</v>
      </c>
      <c r="D71" s="2">
        <f>[1]Hoja8!$E$18</f>
        <v>12.3</v>
      </c>
      <c r="E71" s="6">
        <f t="shared" si="0"/>
        <v>8.1413700000000002</v>
      </c>
      <c r="F71" s="3" t="s">
        <v>102</v>
      </c>
    </row>
    <row r="72" spans="1:6" x14ac:dyDescent="0.25">
      <c r="A72" s="1" t="s">
        <v>101</v>
      </c>
      <c r="B72" s="2" t="s">
        <v>111</v>
      </c>
      <c r="C72" s="39">
        <v>3.0152000000000001</v>
      </c>
      <c r="D72" s="2">
        <f>[1]Hoja8!$N$52</f>
        <v>1.58</v>
      </c>
      <c r="E72" s="6">
        <f>C72*D72</f>
        <v>4.7640160000000007</v>
      </c>
      <c r="F72" s="3" t="s">
        <v>102</v>
      </c>
    </row>
    <row r="73" spans="1:6" x14ac:dyDescent="0.25">
      <c r="A73" s="1" t="s">
        <v>103</v>
      </c>
      <c r="B73" s="2" t="s">
        <v>104</v>
      </c>
      <c r="C73" s="39">
        <v>4.7606000000000002</v>
      </c>
      <c r="D73" s="2">
        <f>[1]Hoja8!$N$20</f>
        <v>7.71</v>
      </c>
      <c r="E73" s="6">
        <f>C73*D73</f>
        <v>36.704225999999998</v>
      </c>
      <c r="F73" s="3" t="s">
        <v>102</v>
      </c>
    </row>
    <row r="74" spans="1:6" x14ac:dyDescent="0.25">
      <c r="A74" s="1"/>
      <c r="B74" s="2"/>
      <c r="C74" s="39"/>
      <c r="D74" s="2"/>
      <c r="E74" s="6"/>
      <c r="F74" s="3"/>
    </row>
    <row r="75" spans="1:6" x14ac:dyDescent="0.25">
      <c r="A75" s="1" t="s">
        <v>149</v>
      </c>
      <c r="B75" s="2" t="s">
        <v>150</v>
      </c>
      <c r="C75" s="39">
        <v>0.10630000000000001</v>
      </c>
      <c r="D75" s="2">
        <f>[1]Hoja6!$N$32</f>
        <v>15.1</v>
      </c>
      <c r="E75" s="6">
        <f t="shared" ref="E75:E78" si="2">C75*D75</f>
        <v>1.6051299999999999</v>
      </c>
      <c r="F75" s="3" t="s">
        <v>102</v>
      </c>
    </row>
    <row r="76" spans="1:6" x14ac:dyDescent="0.25">
      <c r="A76" s="1" t="s">
        <v>143</v>
      </c>
      <c r="B76" s="2" t="s">
        <v>144</v>
      </c>
      <c r="C76" s="39">
        <v>0.10630000000000001</v>
      </c>
      <c r="D76" s="2">
        <f>[1]Hoja6!$N$8</f>
        <v>6.6000000000000005</v>
      </c>
      <c r="E76" s="6">
        <f t="shared" si="2"/>
        <v>0.70158000000000009</v>
      </c>
      <c r="F76" s="3" t="s">
        <v>102</v>
      </c>
    </row>
    <row r="77" spans="1:6" x14ac:dyDescent="0.25">
      <c r="A77" s="1" t="s">
        <v>145</v>
      </c>
      <c r="B77" s="2" t="s">
        <v>146</v>
      </c>
      <c r="C77" s="39">
        <v>0.17249999999999999</v>
      </c>
      <c r="D77" s="2">
        <f>[1]Hoja7!$N$45</f>
        <v>10.200000000000001</v>
      </c>
      <c r="E77" s="6">
        <f t="shared" si="2"/>
        <v>1.7595000000000001</v>
      </c>
      <c r="F77" s="3" t="s">
        <v>102</v>
      </c>
    </row>
    <row r="78" spans="1:6" x14ac:dyDescent="0.25">
      <c r="A78" s="1" t="s">
        <v>147</v>
      </c>
      <c r="B78" s="2" t="s">
        <v>148</v>
      </c>
      <c r="C78" s="39">
        <v>0.17249999999999999</v>
      </c>
      <c r="D78" s="2">
        <f>[1]Hoja8!$E$56</f>
        <v>1</v>
      </c>
      <c r="E78" s="6">
        <f t="shared" si="2"/>
        <v>0.17249999999999999</v>
      </c>
      <c r="F78" s="3" t="s">
        <v>102</v>
      </c>
    </row>
    <row r="79" spans="1:6" x14ac:dyDescent="0.25">
      <c r="A79" s="1"/>
      <c r="B79" s="2"/>
      <c r="C79" s="39"/>
      <c r="D79" s="2"/>
      <c r="E79" s="6"/>
      <c r="F79" s="3"/>
    </row>
    <row r="80" spans="1:6" x14ac:dyDescent="0.25">
      <c r="A80" s="1" t="s">
        <v>88</v>
      </c>
      <c r="B80" s="2" t="s">
        <v>89</v>
      </c>
      <c r="C80" s="39"/>
      <c r="D80" s="2">
        <v>2</v>
      </c>
      <c r="E80" s="6">
        <f t="shared" ref="E80:E99" si="3">C80*D80</f>
        <v>0</v>
      </c>
      <c r="F80" s="3" t="s">
        <v>90</v>
      </c>
    </row>
    <row r="81" spans="1:6" x14ac:dyDescent="0.25">
      <c r="A81" s="1"/>
      <c r="B81" s="2"/>
      <c r="C81" s="39"/>
      <c r="D81" s="2"/>
      <c r="E81" s="6"/>
      <c r="F81" s="3"/>
    </row>
    <row r="82" spans="1:6" x14ac:dyDescent="0.25">
      <c r="A82" s="1" t="s">
        <v>95</v>
      </c>
      <c r="B82" s="8" t="s">
        <v>152</v>
      </c>
      <c r="C82" s="39">
        <v>46.2</v>
      </c>
      <c r="D82" s="2">
        <v>1</v>
      </c>
      <c r="E82" s="6">
        <f t="shared" si="3"/>
        <v>46.2</v>
      </c>
      <c r="F82" s="3" t="s">
        <v>96</v>
      </c>
    </row>
    <row r="83" spans="1:6" x14ac:dyDescent="0.25">
      <c r="A83" s="1" t="s">
        <v>100</v>
      </c>
      <c r="B83" s="7" t="s">
        <v>151</v>
      </c>
      <c r="C83" s="39">
        <v>2.64</v>
      </c>
      <c r="D83" s="2">
        <v>1</v>
      </c>
      <c r="E83" s="6">
        <f t="shared" si="3"/>
        <v>2.64</v>
      </c>
      <c r="F83" s="3" t="s">
        <v>96</v>
      </c>
    </row>
    <row r="84" spans="1:6" x14ac:dyDescent="0.25">
      <c r="A84" s="1"/>
      <c r="B84" s="2"/>
      <c r="C84" s="39"/>
      <c r="D84" s="2"/>
      <c r="E84" s="6"/>
      <c r="F84" s="3"/>
    </row>
    <row r="85" spans="1:6" x14ac:dyDescent="0.25">
      <c r="A85" s="1" t="s">
        <v>81</v>
      </c>
      <c r="B85" s="2" t="s">
        <v>82</v>
      </c>
      <c r="C85" s="39">
        <v>1.3452</v>
      </c>
      <c r="D85" s="2">
        <v>1</v>
      </c>
      <c r="E85" s="6">
        <f t="shared" si="3"/>
        <v>1.3452</v>
      </c>
      <c r="F85" s="3" t="s">
        <v>83</v>
      </c>
    </row>
    <row r="86" spans="1:6" x14ac:dyDescent="0.25">
      <c r="A86" s="1" t="s">
        <v>84</v>
      </c>
      <c r="B86" s="2" t="s">
        <v>85</v>
      </c>
      <c r="C86" s="39">
        <v>1.6645000000000001</v>
      </c>
      <c r="D86" s="2">
        <v>1</v>
      </c>
      <c r="E86" s="6">
        <f t="shared" si="3"/>
        <v>1.6645000000000001</v>
      </c>
      <c r="F86" s="3" t="s">
        <v>83</v>
      </c>
    </row>
    <row r="87" spans="1:6" x14ac:dyDescent="0.25">
      <c r="A87" s="1"/>
      <c r="B87" s="2"/>
      <c r="C87" s="39"/>
      <c r="D87" s="2"/>
      <c r="E87" s="6"/>
      <c r="F87" s="3"/>
    </row>
    <row r="88" spans="1:6" x14ac:dyDescent="0.25">
      <c r="A88" s="1"/>
      <c r="B88" s="2"/>
      <c r="C88" s="39"/>
      <c r="D88" s="2"/>
      <c r="E88" s="6"/>
      <c r="F88" s="3"/>
    </row>
    <row r="89" spans="1:6" x14ac:dyDescent="0.25">
      <c r="A89" s="27">
        <v>1674740000</v>
      </c>
      <c r="B89" s="2" t="s">
        <v>122</v>
      </c>
      <c r="C89" s="39">
        <v>6.6699999999999995E-2</v>
      </c>
      <c r="D89" s="2">
        <v>30</v>
      </c>
      <c r="E89" s="6">
        <f t="shared" si="3"/>
        <v>2.0009999999999999</v>
      </c>
      <c r="F89" s="3" t="s">
        <v>161</v>
      </c>
    </row>
    <row r="90" spans="1:6" x14ac:dyDescent="0.25">
      <c r="A90" s="27">
        <v>1707270000</v>
      </c>
      <c r="B90" s="2" t="s">
        <v>123</v>
      </c>
      <c r="C90" s="39">
        <v>0.71</v>
      </c>
      <c r="D90" s="2">
        <v>7</v>
      </c>
      <c r="E90" s="6">
        <f t="shared" si="3"/>
        <v>4.97</v>
      </c>
      <c r="F90" s="3" t="s">
        <v>161</v>
      </c>
    </row>
    <row r="91" spans="1:6" x14ac:dyDescent="0.25">
      <c r="A91" s="27">
        <v>1718411044</v>
      </c>
      <c r="B91" s="2" t="s">
        <v>124</v>
      </c>
      <c r="C91" s="39">
        <v>6.5199999999999994E-2</v>
      </c>
      <c r="D91" s="2">
        <v>562</v>
      </c>
      <c r="E91" s="6">
        <f t="shared" si="3"/>
        <v>36.642399999999995</v>
      </c>
      <c r="F91" s="3" t="s">
        <v>161</v>
      </c>
    </row>
    <row r="92" spans="1:6" x14ac:dyDescent="0.25">
      <c r="A92" s="27">
        <v>1798560000</v>
      </c>
      <c r="B92" s="2" t="s">
        <v>125</v>
      </c>
      <c r="C92" s="39">
        <v>1.4800000000000001E-2</v>
      </c>
      <c r="D92" s="2">
        <v>562</v>
      </c>
      <c r="E92" s="6">
        <f t="shared" si="3"/>
        <v>8.3176000000000005</v>
      </c>
      <c r="F92" s="3" t="s">
        <v>161</v>
      </c>
    </row>
    <row r="93" spans="1:6" x14ac:dyDescent="0.25">
      <c r="A93" s="27">
        <v>1880100000</v>
      </c>
      <c r="B93" s="2" t="s">
        <v>126</v>
      </c>
      <c r="C93" s="39">
        <v>0.1135</v>
      </c>
      <c r="D93" s="2">
        <v>26</v>
      </c>
      <c r="E93" s="6">
        <f t="shared" si="3"/>
        <v>2.9510000000000001</v>
      </c>
      <c r="F93" s="3" t="s">
        <v>161</v>
      </c>
    </row>
    <row r="94" spans="1:6" x14ac:dyDescent="0.25">
      <c r="A94" s="1"/>
      <c r="B94" s="2"/>
      <c r="C94" s="39"/>
      <c r="D94" s="2"/>
      <c r="E94" s="6"/>
      <c r="F94" s="3"/>
    </row>
    <row r="95" spans="1:6" x14ac:dyDescent="0.25">
      <c r="A95" s="1" t="s">
        <v>184</v>
      </c>
      <c r="B95" s="2" t="s">
        <v>185</v>
      </c>
      <c r="C95" s="39">
        <v>0.82399999999999995</v>
      </c>
      <c r="D95" s="2">
        <v>1</v>
      </c>
      <c r="E95" s="6">
        <v>0.82399999999999995</v>
      </c>
      <c r="F95" s="3" t="s">
        <v>99</v>
      </c>
    </row>
    <row r="96" spans="1:6" x14ac:dyDescent="0.25">
      <c r="A96" s="1" t="s">
        <v>127</v>
      </c>
      <c r="B96" s="2" t="s">
        <v>128</v>
      </c>
      <c r="C96" s="39">
        <v>3.9184999999999999</v>
      </c>
      <c r="D96" s="2">
        <v>2</v>
      </c>
      <c r="E96" s="6">
        <v>7.8369999999999997</v>
      </c>
      <c r="F96" s="3" t="s">
        <v>99</v>
      </c>
    </row>
    <row r="97" spans="1:6" x14ac:dyDescent="0.25">
      <c r="A97" s="1"/>
      <c r="B97" s="2"/>
      <c r="C97" s="39"/>
      <c r="D97" s="2"/>
      <c r="E97" s="6"/>
      <c r="F97" s="3"/>
    </row>
    <row r="98" spans="1:6" x14ac:dyDescent="0.25">
      <c r="A98" s="1" t="s">
        <v>129</v>
      </c>
      <c r="B98" s="2" t="s">
        <v>130</v>
      </c>
      <c r="C98" s="39">
        <v>0.45</v>
      </c>
      <c r="D98" s="2">
        <f>[1]Hoja7!$E$57</f>
        <v>1.5</v>
      </c>
      <c r="E98" s="6">
        <f t="shared" si="3"/>
        <v>0.67500000000000004</v>
      </c>
      <c r="F98" s="3" t="s">
        <v>99</v>
      </c>
    </row>
    <row r="99" spans="1:6" x14ac:dyDescent="0.25">
      <c r="A99" s="1" t="s">
        <v>131</v>
      </c>
      <c r="B99" s="2" t="s">
        <v>132</v>
      </c>
      <c r="C99" s="39">
        <v>0.74099999999999999</v>
      </c>
      <c r="D99" s="2">
        <f>[1]Hoja7!$E$53</f>
        <v>1.5</v>
      </c>
      <c r="E99" s="6">
        <f t="shared" si="3"/>
        <v>1.1114999999999999</v>
      </c>
      <c r="F99" s="3" t="s">
        <v>99</v>
      </c>
    </row>
    <row r="100" spans="1:6" ht="15.75" thickBot="1" x14ac:dyDescent="0.3">
      <c r="A100" s="11"/>
      <c r="B100" s="12"/>
      <c r="C100" s="12"/>
      <c r="D100" s="12"/>
      <c r="E100" s="13"/>
      <c r="F100" s="14"/>
    </row>
    <row r="101" spans="1:6" x14ac:dyDescent="0.25">
      <c r="A101" s="15"/>
      <c r="B101" s="16"/>
      <c r="C101" s="16"/>
      <c r="D101" s="16"/>
      <c r="E101" s="17"/>
      <c r="F101" s="18"/>
    </row>
    <row r="102" spans="1:6" x14ac:dyDescent="0.25">
      <c r="A102" s="19"/>
      <c r="B102" s="9" t="s">
        <v>133</v>
      </c>
      <c r="C102" s="9"/>
      <c r="D102" s="9"/>
      <c r="E102" s="10">
        <f>SUM(E95:E96,E89:E93,E85:E86,E82:E83,E80,E46:E48,E43:E44,E15:E16,E11)</f>
        <v>227.43600000000001</v>
      </c>
      <c r="F102" s="20"/>
    </row>
    <row r="103" spans="1:6" x14ac:dyDescent="0.25">
      <c r="A103" s="19"/>
      <c r="B103" s="9"/>
      <c r="C103" s="9"/>
      <c r="D103" s="9"/>
      <c r="E103" s="10"/>
      <c r="F103" s="20"/>
    </row>
    <row r="104" spans="1:6" x14ac:dyDescent="0.25">
      <c r="A104" s="19"/>
      <c r="B104" s="9" t="s">
        <v>134</v>
      </c>
      <c r="C104" s="9"/>
      <c r="D104" s="9"/>
      <c r="E104" s="10">
        <f>E102*1.1</f>
        <v>250.17960000000002</v>
      </c>
      <c r="F104" s="20"/>
    </row>
    <row r="105" spans="1:6" x14ac:dyDescent="0.25">
      <c r="A105" s="19"/>
      <c r="B105" s="9"/>
      <c r="C105" s="9"/>
      <c r="D105" s="9"/>
      <c r="E105" s="10"/>
      <c r="F105" s="20"/>
    </row>
    <row r="106" spans="1:6" x14ac:dyDescent="0.25">
      <c r="A106" s="19"/>
      <c r="B106" s="9" t="s">
        <v>135</v>
      </c>
      <c r="C106" s="9"/>
      <c r="D106" s="9"/>
      <c r="E106" s="10">
        <f>E110-E102</f>
        <v>134.52309204999997</v>
      </c>
      <c r="F106" s="20"/>
    </row>
    <row r="107" spans="1:6" x14ac:dyDescent="0.25">
      <c r="A107" s="19"/>
      <c r="B107" s="9"/>
      <c r="C107" s="9"/>
      <c r="D107" s="9"/>
      <c r="E107" s="10"/>
      <c r="F107" s="20"/>
    </row>
    <row r="108" spans="1:6" x14ac:dyDescent="0.25">
      <c r="A108" s="19"/>
      <c r="B108" s="9" t="s">
        <v>136</v>
      </c>
      <c r="C108" s="9"/>
      <c r="D108" s="9"/>
      <c r="E108" s="10">
        <f>E106*1.2</f>
        <v>161.42771045999996</v>
      </c>
      <c r="F108" s="20"/>
    </row>
    <row r="109" spans="1:6" x14ac:dyDescent="0.25">
      <c r="A109" s="19"/>
      <c r="B109" s="9"/>
      <c r="C109" s="9"/>
      <c r="D109" s="9"/>
      <c r="E109" s="10"/>
      <c r="F109" s="20"/>
    </row>
    <row r="110" spans="1:6" x14ac:dyDescent="0.25">
      <c r="A110" s="19"/>
      <c r="B110" s="25" t="s">
        <v>137</v>
      </c>
      <c r="C110" s="25"/>
      <c r="D110" s="25"/>
      <c r="E110" s="26">
        <f>SUM(E4:E100)</f>
        <v>361.95909204999998</v>
      </c>
      <c r="F110" s="20"/>
    </row>
    <row r="111" spans="1:6" x14ac:dyDescent="0.25">
      <c r="A111" s="19"/>
      <c r="B111" s="25" t="s">
        <v>138</v>
      </c>
      <c r="C111" s="25"/>
      <c r="D111" s="25"/>
      <c r="E111" s="26">
        <f>E104+E108</f>
        <v>411.60731046000001</v>
      </c>
      <c r="F111" s="20"/>
    </row>
    <row r="112" spans="1:6" ht="15.75" thickBot="1" x14ac:dyDescent="0.3">
      <c r="A112" s="21"/>
      <c r="B112" s="22"/>
      <c r="C112" s="22"/>
      <c r="D112" s="22"/>
      <c r="E112" s="23"/>
      <c r="F112" s="24"/>
    </row>
  </sheetData>
  <sortState ref="A4:F66">
    <sortCondition ref="F4:F66"/>
  </sortState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componentes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Taller</dc:creator>
  <cp:lastModifiedBy>Taller</cp:lastModifiedBy>
  <dcterms:created xsi:type="dcterms:W3CDTF">2013-03-25T19:24:39Z</dcterms:created>
  <dcterms:modified xsi:type="dcterms:W3CDTF">2016-05-09T10:33:11Z</dcterms:modified>
</cp:coreProperties>
</file>